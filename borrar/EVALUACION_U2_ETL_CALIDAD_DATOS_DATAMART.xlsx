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61bi\farmacia-bi\"/>
    </mc:Choice>
  </mc:AlternateContent>
  <xr:revisionPtr revIDLastSave="0" documentId="8_{D10476E9-82AD-4172-9B02-D3D9E7C8530B}" xr6:coauthVersionLast="47" xr6:coauthVersionMax="47" xr10:uidLastSave="{00000000-0000-0000-0000-000000000000}"/>
  <bookViews>
    <workbookView xWindow="-108" yWindow="-108" windowWidth="23256" windowHeight="12456" xr2:uid="{C0BA27BE-970B-4C80-91BD-24BF71F4D091}"/>
  </bookViews>
  <sheets>
    <sheet name="Evaluacion individual" sheetId="3" r:id="rId1"/>
    <sheet name="Rubrica" sheetId="2" r:id="rId2"/>
    <sheet name="Resumen grupo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E2" i="1"/>
  <c r="D2" i="1"/>
  <c r="C2" i="1"/>
  <c r="B2" i="1"/>
  <c r="K67" i="3"/>
  <c r="J67" i="3"/>
  <c r="K66" i="3"/>
  <c r="J66" i="3"/>
  <c r="K65" i="3"/>
  <c r="J65" i="3"/>
  <c r="K64" i="3"/>
  <c r="J64" i="3"/>
  <c r="K63" i="3"/>
  <c r="J63" i="3"/>
  <c r="K62" i="3"/>
  <c r="J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K36" i="3"/>
  <c r="J36" i="3"/>
  <c r="K35" i="3"/>
  <c r="J35" i="3"/>
  <c r="K34" i="3"/>
  <c r="J34" i="3"/>
  <c r="K33" i="3"/>
  <c r="J33" i="3"/>
  <c r="K32" i="3"/>
  <c r="J32" i="3"/>
  <c r="K31" i="3"/>
  <c r="J31" i="3"/>
  <c r="K30" i="3"/>
  <c r="J30" i="3"/>
  <c r="K29" i="3"/>
  <c r="J29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K4" i="3"/>
  <c r="J4" i="3"/>
  <c r="K3" i="3"/>
  <c r="J3" i="3"/>
  <c r="K2" i="3"/>
  <c r="J2" i="3"/>
</calcChain>
</file>

<file path=xl/sharedStrings.xml><?xml version="1.0" encoding="utf-8"?>
<sst xmlns="http://schemas.openxmlformats.org/spreadsheetml/2006/main" count="136" uniqueCount="68">
  <si>
    <t>Criterio</t>
  </si>
  <si>
    <t>Sesion evaluada</t>
  </si>
  <si>
    <t>N3 - Logro alto</t>
  </si>
  <si>
    <t>N2 - Esperado</t>
  </si>
  <si>
    <t>N1 - En proceso</t>
  </si>
  <si>
    <t>N0 - Deficiente</t>
  </si>
  <si>
    <t>1. ETL manual y DataMart inicial con SQL</t>
  </si>
  <si>
    <t>Sesion 6</t>
  </si>
  <si>
    <t>Implementa dimensiones y hechos, carga datos con SQL y documenta grano, claves, transformación, carga y validación analítica</t>
  </si>
  <si>
    <t>Implementa el DataMart manual con errores menores o documentación parcial</t>
  </si>
  <si>
    <t>DataMart o ETL manual incompleto</t>
  </si>
  <si>
    <t>No implementa DataMart manual ni ETL SQL</t>
  </si>
  <si>
    <t>2. Extracción / ingesta con herramientas</t>
  </si>
  <si>
    <t>Sesion 7</t>
  </si>
  <si>
    <t>Evidencia separación OLTP-DW e ingesta funcional con Airbyte, Debezium o equivalente hacia raw</t>
  </si>
  <si>
    <t>Ingesta funcional con evidencia parcial</t>
  </si>
  <si>
    <t>Ingesta incompleta o poco verificable</t>
  </si>
  <si>
    <t>No implementa ingesta con herramientas</t>
  </si>
  <si>
    <t>3. Transformación, carga analítica y optimización con dbt</t>
  </si>
  <si>
    <t>Usa dbt/equivalente para sources, staging y marts, materializando dimensiones/hechos</t>
  </si>
  <si>
    <t>Construye staging y marts con documentación parcial</t>
  </si>
  <si>
    <t>Transformación parcial o desordenada</t>
  </si>
  <si>
    <t>No usa dbt ni equivalente</t>
  </si>
  <si>
    <t>4. Modelo semántico y métricas BI</t>
  </si>
  <si>
    <t>Sesion 8</t>
  </si>
  <si>
    <t>Construye relaciones, cardinalidades, jerarquías, medidas y agregaciones coherentes</t>
  </si>
  <si>
    <t>Modelo funcional con errores menores</t>
  </si>
  <si>
    <t>Modelo incompleto o medidas poco confiables</t>
  </si>
  <si>
    <t>No presenta modelo semántico ni medidas</t>
  </si>
  <si>
    <t>5. Validación multinivel y calidad de datos</t>
  </si>
  <si>
    <t>Sesiones 6, 7 y 8</t>
  </si>
  <si>
    <t>Valida OLTP vs raw, raw vs staging, staging vs marts, SQL analítico y Power BI</t>
  </si>
  <si>
    <t>Valida niveles principales con cobertura parcial</t>
  </si>
  <si>
    <t>Validación superficial</t>
  </si>
  <si>
    <t>No valida calidad ni resultados</t>
  </si>
  <si>
    <t>6. Participación individual del equipo</t>
  </si>
  <si>
    <t>Transversal</t>
  </si>
  <si>
    <t>Cada integrante evidencia aportes claros, verificables y equilibrados</t>
  </si>
  <si>
    <t>La mayoría evidencia aportes</t>
  </si>
  <si>
    <t>Participación desigual o poco verificable</t>
  </si>
  <si>
    <t>No se evidencia participación individual</t>
  </si>
  <si>
    <t>Grupo</t>
  </si>
  <si>
    <t>Codigo</t>
  </si>
  <si>
    <t>Estudiante</t>
  </si>
  <si>
    <t>C1 ETL SQL</t>
  </si>
  <si>
    <t>C2 Ingesta</t>
  </si>
  <si>
    <t>C3 dbt/marts</t>
  </si>
  <si>
    <t>C4 Modelo BI</t>
  </si>
  <si>
    <t>C5 Calidad</t>
  </si>
  <si>
    <t>C6 Participacion</t>
  </si>
  <si>
    <t>Puntaje 0-18</t>
  </si>
  <si>
    <t>Nota 0-20</t>
  </si>
  <si>
    <t>Observaciones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</si>
  <si>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</si>
  <si>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</si>
  <si>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</si>
  <si>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</si>
  <si>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</si>
  <si>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</si>
  <si>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</si>
  <si>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</si>
  <si>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</si>
  <si>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</si>
  <si>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</si>
  <si>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Integrantes evaluados</t>
  </si>
  <si>
    <t>Promedio nota</t>
  </si>
  <si>
    <t>Nota maxima</t>
  </si>
  <si>
    <t>Nota minima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</si>
</sst>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9EEE-C26C-4C24-B833-0FA03E302DBF}">
  <dimension ref="A1:L67"/>
  <sheetViews>
    <sheetView tabSelected="1" workbookViewId="0"/>
  </sheetViews>
  <sheetFormatPr baseColWidth="10" defaultRowHeight="14.4" x14ac:dyDescent="0.3"/>
  <cols>
    <col min="1" max="1" width="8.33203125" bestFit="1" customWidth="1"/>
    <col min="2" max="2" width="6.77734375" bestFit="1" customWidth="1"/>
    <col min="3" max="3" width="9.88671875" bestFit="1" customWidth="1"/>
    <col min="4" max="4" width="10" bestFit="1" customWidth="1"/>
    <col min="5" max="5" width="9.5546875" bestFit="1" customWidth="1"/>
    <col min="6" max="6" width="12" bestFit="1" customWidth="1"/>
    <col min="7" max="7" width="11.6640625" bestFit="1" customWidth="1"/>
    <col min="8" max="8" width="10.109375" bestFit="1" customWidth="1"/>
    <col min="9" max="9" width="14.77734375" bestFit="1" customWidth="1"/>
    <col min="10" max="10" width="11.33203125" bestFit="1" customWidth="1"/>
    <col min="11" max="11" width="9" bestFit="1" customWidth="1"/>
    <col min="12" max="12" width="13.33203125" bestFit="1" customWidth="1"/>
  </cols>
  <sheetData>
    <row r="1" spans="1:12" s="1" customFormat="1" x14ac:dyDescent="0.3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 x14ac:dyDescent="0.3">
      <c r="A2" t="s">
        <v>53</v>
      </c>
      <c r="J2">
        <f>SUM(D2)</f>
        <v>0</v>
      </c>
      <c r="K2">
        <f>ROUND(J2*20/18,2)</f>
        <v>0</v>
      </c>
    </row>
    <row r="3" spans="1:12" x14ac:dyDescent="0.3">
      <c r="A3" t="s">
        <v>53</v>
      </c>
      <c r="J3">
        <f>SUM(D3)</f>
        <v>0</v>
      </c>
      <c r="K3">
        <f>ROUND(J3*20/18,2)</f>
        <v>0</v>
      </c>
    </row>
    <row r="4" spans="1:12" x14ac:dyDescent="0.3">
      <c r="A4" t="s">
        <v>53</v>
      </c>
      <c r="J4">
        <f>SUM(D4)</f>
        <v>0</v>
      </c>
      <c r="K4">
        <f>ROUND(J4*20/18,2)</f>
        <v>0</v>
      </c>
    </row>
    <row r="5" spans="1:12" x14ac:dyDescent="0.3">
      <c r="A5" t="s">
        <v>53</v>
      </c>
      <c r="J5">
        <f>SUM(D5)</f>
        <v>0</v>
      </c>
      <c r="K5">
        <f>ROUND(J5*20/18,2)</f>
        <v>0</v>
      </c>
    </row>
    <row r="6" spans="1:12" x14ac:dyDescent="0.3">
      <c r="A6" t="s">
        <v>53</v>
      </c>
      <c r="J6">
        <f>SUM(D6)</f>
        <v>0</v>
      </c>
      <c r="K6">
        <f>ROUND(J6*20/18,2)</f>
        <v>0</v>
      </c>
    </row>
    <row r="7" spans="1:12" x14ac:dyDescent="0.3">
      <c r="A7" t="s">
        <v>53</v>
      </c>
      <c r="J7">
        <f>SUM(D7)</f>
        <v>0</v>
      </c>
      <c r="K7">
        <f>ROUND(J7*20/18,2)</f>
        <v>0</v>
      </c>
    </row>
    <row r="8" spans="1:12" x14ac:dyDescent="0.3">
      <c r="A8" t="s">
        <v>54</v>
      </c>
      <c r="J8">
        <f>SUM(D8)</f>
        <v>0</v>
      </c>
      <c r="K8">
        <f>ROUND(J8*20/18,2)</f>
        <v>0</v>
      </c>
    </row>
    <row r="9" spans="1:12" x14ac:dyDescent="0.3">
      <c r="A9" t="s">
        <v>54</v>
      </c>
      <c r="J9">
        <f>SUM(D9)</f>
        <v>0</v>
      </c>
      <c r="K9">
        <f>ROUND(J9*20/18,2)</f>
        <v>0</v>
      </c>
    </row>
    <row r="10" spans="1:12" x14ac:dyDescent="0.3">
      <c r="A10" t="s">
        <v>54</v>
      </c>
      <c r="J10">
        <f>SUM(D10)</f>
        <v>0</v>
      </c>
      <c r="K10">
        <f>ROUND(J10*20/18,2)</f>
        <v>0</v>
      </c>
    </row>
    <row r="11" spans="1:12" x14ac:dyDescent="0.3">
      <c r="A11" t="s">
        <v>54</v>
      </c>
      <c r="J11">
        <f>SUM(D11)</f>
        <v>0</v>
      </c>
      <c r="K11">
        <f>ROUND(J11*20/18,2)</f>
        <v>0</v>
      </c>
    </row>
    <row r="12" spans="1:12" x14ac:dyDescent="0.3">
      <c r="A12" t="s">
        <v>54</v>
      </c>
      <c r="J12">
        <f>SUM(D12)</f>
        <v>0</v>
      </c>
      <c r="K12">
        <f>ROUND(J12*20/18,2)</f>
        <v>0</v>
      </c>
    </row>
    <row r="13" spans="1:12" x14ac:dyDescent="0.3">
      <c r="A13" t="s">
        <v>54</v>
      </c>
      <c r="J13">
        <f>SUM(D13)</f>
        <v>0</v>
      </c>
      <c r="K13">
        <f>ROUND(J13*20/18,2)</f>
        <v>0</v>
      </c>
    </row>
    <row r="14" spans="1:12" x14ac:dyDescent="0.3">
      <c r="A14" t="s">
        <v>55</v>
      </c>
      <c r="J14">
        <f>SUM(D14)</f>
        <v>0</v>
      </c>
      <c r="K14">
        <f>ROUND(J14*20/18,2)</f>
        <v>0</v>
      </c>
    </row>
    <row r="15" spans="1:12" x14ac:dyDescent="0.3">
      <c r="A15" t="s">
        <v>55</v>
      </c>
      <c r="J15">
        <f>SUM(D15)</f>
        <v>0</v>
      </c>
      <c r="K15">
        <f>ROUND(J15*20/18,2)</f>
        <v>0</v>
      </c>
    </row>
    <row r="16" spans="1:12" x14ac:dyDescent="0.3">
      <c r="A16" t="s">
        <v>55</v>
      </c>
      <c r="J16">
        <f>SUM(D16)</f>
        <v>0</v>
      </c>
      <c r="K16">
        <f>ROUND(J16*20/18,2)</f>
        <v>0</v>
      </c>
    </row>
    <row r="17" spans="1:11" x14ac:dyDescent="0.3">
      <c r="A17" t="s">
        <v>55</v>
      </c>
      <c r="J17">
        <f>SUM(D17)</f>
        <v>0</v>
      </c>
      <c r="K17">
        <f>ROUND(J17*20/18,2)</f>
        <v>0</v>
      </c>
    </row>
    <row r="18" spans="1:11" x14ac:dyDescent="0.3">
      <c r="A18" t="s">
        <v>55</v>
      </c>
      <c r="J18">
        <f>SUM(D18)</f>
        <v>0</v>
      </c>
      <c r="K18">
        <f>ROUND(J18*20/18,2)</f>
        <v>0</v>
      </c>
    </row>
    <row r="19" spans="1:11" x14ac:dyDescent="0.3">
      <c r="A19" t="s">
        <v>55</v>
      </c>
      <c r="J19">
        <f>SUM(D19)</f>
        <v>0</v>
      </c>
      <c r="K19">
        <f>ROUND(J19*20/18,2)</f>
        <v>0</v>
      </c>
    </row>
    <row r="20" spans="1:11" x14ac:dyDescent="0.3">
      <c r="A20" t="s">
        <v>56</v>
      </c>
      <c r="J20">
        <f>SUM(D20)</f>
        <v>0</v>
      </c>
      <c r="K20">
        <f>ROUND(J20*20/18,2)</f>
        <v>0</v>
      </c>
    </row>
    <row r="21" spans="1:11" x14ac:dyDescent="0.3">
      <c r="A21" t="s">
        <v>56</v>
      </c>
      <c r="J21">
        <f>SUM(D21)</f>
        <v>0</v>
      </c>
      <c r="K21">
        <f>ROUND(J21*20/18,2)</f>
        <v>0</v>
      </c>
    </row>
    <row r="22" spans="1:11" x14ac:dyDescent="0.3">
      <c r="A22" t="s">
        <v>56</v>
      </c>
      <c r="J22">
        <f>SUM(D22)</f>
        <v>0</v>
      </c>
      <c r="K22">
        <f>ROUND(J22*20/18,2)</f>
        <v>0</v>
      </c>
    </row>
    <row r="23" spans="1:11" x14ac:dyDescent="0.3">
      <c r="A23" t="s">
        <v>56</v>
      </c>
      <c r="J23">
        <f>SUM(D23)</f>
        <v>0</v>
      </c>
      <c r="K23">
        <f>ROUND(J23*20/18,2)</f>
        <v>0</v>
      </c>
    </row>
    <row r="24" spans="1:11" x14ac:dyDescent="0.3">
      <c r="A24" t="s">
        <v>56</v>
      </c>
      <c r="J24">
        <f>SUM(D24)</f>
        <v>0</v>
      </c>
      <c r="K24">
        <f>ROUND(J24*20/18,2)</f>
        <v>0</v>
      </c>
    </row>
    <row r="25" spans="1:11" x14ac:dyDescent="0.3">
      <c r="A25" t="s">
        <v>56</v>
      </c>
      <c r="J25">
        <f>SUM(D25)</f>
        <v>0</v>
      </c>
      <c r="K25">
        <f>ROUND(J25*20/18,2)</f>
        <v>0</v>
      </c>
    </row>
    <row r="26" spans="1:11" x14ac:dyDescent="0.3">
      <c r="A26" t="s">
        <v>57</v>
      </c>
      <c r="J26">
        <f>SUM(D26)</f>
        <v>0</v>
      </c>
      <c r="K26">
        <f>ROUND(J26*20/18,2)</f>
        <v>0</v>
      </c>
    </row>
    <row r="27" spans="1:11" x14ac:dyDescent="0.3">
      <c r="A27" t="s">
        <v>57</v>
      </c>
      <c r="J27">
        <f>SUM(D27)</f>
        <v>0</v>
      </c>
      <c r="K27">
        <f>ROUND(J27*20/18,2)</f>
        <v>0</v>
      </c>
    </row>
    <row r="28" spans="1:11" x14ac:dyDescent="0.3">
      <c r="A28" t="s">
        <v>57</v>
      </c>
      <c r="J28">
        <f>SUM(D28)</f>
        <v>0</v>
      </c>
      <c r="K28">
        <f>ROUND(J28*20/18,2)</f>
        <v>0</v>
      </c>
    </row>
    <row r="29" spans="1:11" x14ac:dyDescent="0.3">
      <c r="A29" t="s">
        <v>57</v>
      </c>
      <c r="J29">
        <f>SUM(D29)</f>
        <v>0</v>
      </c>
      <c r="K29">
        <f>ROUND(J29*20/18,2)</f>
        <v>0</v>
      </c>
    </row>
    <row r="30" spans="1:11" x14ac:dyDescent="0.3">
      <c r="A30" t="s">
        <v>57</v>
      </c>
      <c r="J30">
        <f>SUM(D30)</f>
        <v>0</v>
      </c>
      <c r="K30">
        <f>ROUND(J30*20/18,2)</f>
        <v>0</v>
      </c>
    </row>
    <row r="31" spans="1:11" x14ac:dyDescent="0.3">
      <c r="A31" t="s">
        <v>57</v>
      </c>
      <c r="J31">
        <f>SUM(D31)</f>
        <v>0</v>
      </c>
      <c r="K31">
        <f>ROUND(J31*20/18,2)</f>
        <v>0</v>
      </c>
    </row>
    <row r="32" spans="1:11" x14ac:dyDescent="0.3">
      <c r="A32" t="s">
        <v>58</v>
      </c>
      <c r="J32">
        <f>SUM(D32)</f>
        <v>0</v>
      </c>
      <c r="K32">
        <f>ROUND(J32*20/18,2)</f>
        <v>0</v>
      </c>
    </row>
    <row r="33" spans="1:11" x14ac:dyDescent="0.3">
      <c r="A33" t="s">
        <v>58</v>
      </c>
      <c r="J33">
        <f>SUM(D33)</f>
        <v>0</v>
      </c>
      <c r="K33">
        <f>ROUND(J33*20/18,2)</f>
        <v>0</v>
      </c>
    </row>
    <row r="34" spans="1:11" x14ac:dyDescent="0.3">
      <c r="A34" t="s">
        <v>58</v>
      </c>
      <c r="J34">
        <f>SUM(D34)</f>
        <v>0</v>
      </c>
      <c r="K34">
        <f>ROUND(J34*20/18,2)</f>
        <v>0</v>
      </c>
    </row>
    <row r="35" spans="1:11" x14ac:dyDescent="0.3">
      <c r="A35" t="s">
        <v>58</v>
      </c>
      <c r="J35">
        <f>SUM(D35)</f>
        <v>0</v>
      </c>
      <c r="K35">
        <f>ROUND(J35*20/18,2)</f>
        <v>0</v>
      </c>
    </row>
    <row r="36" spans="1:11" x14ac:dyDescent="0.3">
      <c r="A36" t="s">
        <v>58</v>
      </c>
      <c r="J36">
        <f>SUM(D36)</f>
        <v>0</v>
      </c>
      <c r="K36">
        <f>ROUND(J36*20/18,2)</f>
        <v>0</v>
      </c>
    </row>
    <row r="37" spans="1:11" x14ac:dyDescent="0.3">
      <c r="A37" t="s">
        <v>58</v>
      </c>
      <c r="J37">
        <f>SUM(D37)</f>
        <v>0</v>
      </c>
      <c r="K37">
        <f>ROUND(J37*20/18,2)</f>
        <v>0</v>
      </c>
    </row>
    <row r="38" spans="1:11" x14ac:dyDescent="0.3">
      <c r="A38" t="s">
        <v>59</v>
      </c>
      <c r="J38">
        <f>SUM(D38)</f>
        <v>0</v>
      </c>
      <c r="K38">
        <f>ROUND(J38*20/18,2)</f>
        <v>0</v>
      </c>
    </row>
    <row r="39" spans="1:11" x14ac:dyDescent="0.3">
      <c r="A39" t="s">
        <v>59</v>
      </c>
      <c r="J39">
        <f>SUM(D39)</f>
        <v>0</v>
      </c>
      <c r="K39">
        <f>ROUND(J39*20/18,2)</f>
        <v>0</v>
      </c>
    </row>
    <row r="40" spans="1:11" x14ac:dyDescent="0.3">
      <c r="A40" t="s">
        <v>59</v>
      </c>
      <c r="J40">
        <f>SUM(D40)</f>
        <v>0</v>
      </c>
      <c r="K40">
        <f>ROUND(J40*20/18,2)</f>
        <v>0</v>
      </c>
    </row>
    <row r="41" spans="1:11" x14ac:dyDescent="0.3">
      <c r="A41" t="s">
        <v>59</v>
      </c>
      <c r="J41">
        <f>SUM(D41)</f>
        <v>0</v>
      </c>
      <c r="K41">
        <f>ROUND(J41*20/18,2)</f>
        <v>0</v>
      </c>
    </row>
    <row r="42" spans="1:11" x14ac:dyDescent="0.3">
      <c r="A42" t="s">
        <v>59</v>
      </c>
      <c r="J42">
        <f>SUM(D42)</f>
        <v>0</v>
      </c>
      <c r="K42">
        <f>ROUND(J42*20/18,2)</f>
        <v>0</v>
      </c>
    </row>
    <row r="43" spans="1:11" x14ac:dyDescent="0.3">
      <c r="A43" t="s">
        <v>59</v>
      </c>
      <c r="J43">
        <f>SUM(D43)</f>
        <v>0</v>
      </c>
      <c r="K43">
        <f>ROUND(J43*20/18,2)</f>
        <v>0</v>
      </c>
    </row>
    <row r="44" spans="1:11" x14ac:dyDescent="0.3">
      <c r="A44" t="s">
        <v>60</v>
      </c>
      <c r="J44">
        <f>SUM(D44)</f>
        <v>0</v>
      </c>
      <c r="K44">
        <f>ROUND(J44*20/18,2)</f>
        <v>0</v>
      </c>
    </row>
    <row r="45" spans="1:11" x14ac:dyDescent="0.3">
      <c r="A45" t="s">
        <v>60</v>
      </c>
      <c r="J45">
        <f>SUM(D45)</f>
        <v>0</v>
      </c>
      <c r="K45">
        <f>ROUND(J45*20/18,2)</f>
        <v>0</v>
      </c>
    </row>
    <row r="46" spans="1:11" x14ac:dyDescent="0.3">
      <c r="A46" t="s">
        <v>60</v>
      </c>
      <c r="J46">
        <f>SUM(D46)</f>
        <v>0</v>
      </c>
      <c r="K46">
        <f>ROUND(J46*20/18,2)</f>
        <v>0</v>
      </c>
    </row>
    <row r="47" spans="1:11" x14ac:dyDescent="0.3">
      <c r="A47" t="s">
        <v>60</v>
      </c>
      <c r="J47">
        <f>SUM(D47)</f>
        <v>0</v>
      </c>
      <c r="K47">
        <f>ROUND(J47*20/18,2)</f>
        <v>0</v>
      </c>
    </row>
    <row r="48" spans="1:11" x14ac:dyDescent="0.3">
      <c r="A48" t="s">
        <v>60</v>
      </c>
      <c r="J48">
        <f>SUM(D48)</f>
        <v>0</v>
      </c>
      <c r="K48">
        <f>ROUND(J48*20/18,2)</f>
        <v>0</v>
      </c>
    </row>
    <row r="49" spans="1:11" x14ac:dyDescent="0.3">
      <c r="A49" t="s">
        <v>60</v>
      </c>
      <c r="J49">
        <f>SUM(D49)</f>
        <v>0</v>
      </c>
      <c r="K49">
        <f>ROUND(J49*20/18,2)</f>
        <v>0</v>
      </c>
    </row>
    <row r="50" spans="1:11" x14ac:dyDescent="0.3">
      <c r="A50" t="s">
        <v>61</v>
      </c>
      <c r="J50">
        <f>SUM(D50)</f>
        <v>0</v>
      </c>
      <c r="K50">
        <f>ROUND(J50*20/18,2)</f>
        <v>0</v>
      </c>
    </row>
    <row r="51" spans="1:11" x14ac:dyDescent="0.3">
      <c r="A51" t="s">
        <v>61</v>
      </c>
      <c r="J51">
        <f>SUM(D51)</f>
        <v>0</v>
      </c>
      <c r="K51">
        <f>ROUND(J51*20/18,2)</f>
        <v>0</v>
      </c>
    </row>
    <row r="52" spans="1:11" x14ac:dyDescent="0.3">
      <c r="A52" t="s">
        <v>61</v>
      </c>
      <c r="J52">
        <f>SUM(D52)</f>
        <v>0</v>
      </c>
      <c r="K52">
        <f>ROUND(J52*20/18,2)</f>
        <v>0</v>
      </c>
    </row>
    <row r="53" spans="1:11" x14ac:dyDescent="0.3">
      <c r="A53" t="s">
        <v>61</v>
      </c>
      <c r="J53">
        <f>SUM(D53)</f>
        <v>0</v>
      </c>
      <c r="K53">
        <f>ROUND(J53*20/18,2)</f>
        <v>0</v>
      </c>
    </row>
    <row r="54" spans="1:11" x14ac:dyDescent="0.3">
      <c r="A54" t="s">
        <v>61</v>
      </c>
      <c r="J54">
        <f>SUM(D54)</f>
        <v>0</v>
      </c>
      <c r="K54">
        <f>ROUND(J54*20/18,2)</f>
        <v>0</v>
      </c>
    </row>
    <row r="55" spans="1:11" x14ac:dyDescent="0.3">
      <c r="A55" t="s">
        <v>61</v>
      </c>
      <c r="J55">
        <f>SUM(D55)</f>
        <v>0</v>
      </c>
      <c r="K55">
        <f>ROUND(J55*20/18,2)</f>
        <v>0</v>
      </c>
    </row>
    <row r="56" spans="1:11" x14ac:dyDescent="0.3">
      <c r="A56" t="s">
        <v>62</v>
      </c>
      <c r="J56">
        <f>SUM(D56)</f>
        <v>0</v>
      </c>
      <c r="K56">
        <f>ROUND(J56*20/18,2)</f>
        <v>0</v>
      </c>
    </row>
    <row r="57" spans="1:11" x14ac:dyDescent="0.3">
      <c r="A57" t="s">
        <v>62</v>
      </c>
      <c r="J57">
        <f>SUM(D57)</f>
        <v>0</v>
      </c>
      <c r="K57">
        <f>ROUND(J57*20/18,2)</f>
        <v>0</v>
      </c>
    </row>
    <row r="58" spans="1:11" x14ac:dyDescent="0.3">
      <c r="A58" t="s">
        <v>62</v>
      </c>
      <c r="J58">
        <f>SUM(D58)</f>
        <v>0</v>
      </c>
      <c r="K58">
        <f>ROUND(J58*20/18,2)</f>
        <v>0</v>
      </c>
    </row>
    <row r="59" spans="1:11" x14ac:dyDescent="0.3">
      <c r="A59" t="s">
        <v>62</v>
      </c>
      <c r="J59">
        <f>SUM(D59)</f>
        <v>0</v>
      </c>
      <c r="K59">
        <f>ROUND(J59*20/18,2)</f>
        <v>0</v>
      </c>
    </row>
    <row r="60" spans="1:11" x14ac:dyDescent="0.3">
      <c r="A60" t="s">
        <v>62</v>
      </c>
      <c r="J60">
        <f>SUM(D60)</f>
        <v>0</v>
      </c>
      <c r="K60">
        <f>ROUND(J60*20/18,2)</f>
        <v>0</v>
      </c>
    </row>
    <row r="61" spans="1:11" x14ac:dyDescent="0.3">
      <c r="A61" t="s">
        <v>62</v>
      </c>
      <c r="J61">
        <f>SUM(D61)</f>
        <v>0</v>
      </c>
      <c r="K61">
        <f>ROUND(J61*20/18,2)</f>
        <v>0</v>
      </c>
    </row>
    <row r="62" spans="1:11" x14ac:dyDescent="0.3">
      <c r="A62" t="s">
        <v>63</v>
      </c>
      <c r="J62">
        <f>SUM(D62)</f>
        <v>0</v>
      </c>
      <c r="K62">
        <f>ROUND(J62*20/18,2)</f>
        <v>0</v>
      </c>
    </row>
    <row r="63" spans="1:11" x14ac:dyDescent="0.3">
      <c r="A63" t="s">
        <v>63</v>
      </c>
      <c r="J63">
        <f>SUM(D63)</f>
        <v>0</v>
      </c>
      <c r="K63">
        <f>ROUND(J63*20/18,2)</f>
        <v>0</v>
      </c>
    </row>
    <row r="64" spans="1:11" x14ac:dyDescent="0.3">
      <c r="A64" t="s">
        <v>63</v>
      </c>
      <c r="J64">
        <f>SUM(D64)</f>
        <v>0</v>
      </c>
      <c r="K64">
        <f>ROUND(J64*20/18,2)</f>
        <v>0</v>
      </c>
    </row>
    <row r="65" spans="1:11" x14ac:dyDescent="0.3">
      <c r="A65" t="s">
        <v>63</v>
      </c>
      <c r="J65">
        <f>SUM(D65)</f>
        <v>0</v>
      </c>
      <c r="K65">
        <f>ROUND(J65*20/18,2)</f>
        <v>0</v>
      </c>
    </row>
    <row r="66" spans="1:11" x14ac:dyDescent="0.3">
      <c r="A66" t="s">
        <v>63</v>
      </c>
      <c r="J66">
        <f>SUM(D66)</f>
        <v>0</v>
      </c>
      <c r="K66">
        <f>ROUND(J66*20/18,2)</f>
        <v>0</v>
      </c>
    </row>
    <row r="67" spans="1:11" x14ac:dyDescent="0.3">
      <c r="A67" t="s">
        <v>63</v>
      </c>
      <c r="J67">
        <f>SUM(D67)</f>
        <v>0</v>
      </c>
      <c r="K67">
        <f>ROUND(J67*20/18,2)</f>
        <v>0</v>
      </c>
    </row>
  </sheetData>
  <dataValidations count="1">
    <dataValidation type="list" allowBlank="1" showInputMessage="1" showErrorMessage="1" sqref="D2:I67" xr:uid="{F98C68D6-EC66-4226-AAE4-0D2C58C03FDB}">
      <mc:AlternateContent xmlns:x12ac="http://schemas.microsoft.com/office/spreadsheetml/2011/1/ac" xmlns:mc="http://schemas.openxmlformats.org/markup-compatibility/2006">
        <mc:Choice Requires="x12ac">
          <x12ac:list>"0,1,2,3"</x12ac:list>
        </mc:Choice>
        <mc:Fallback>
          <formula1>"0,1,2,3"</formula1>
        </mc:Fallback>
      </mc:AlternateContent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E104-749F-48A9-8810-9B04C554AD8B}">
  <dimension ref="A1:F7"/>
  <sheetViews>
    <sheetView workbookViewId="0"/>
  </sheetViews>
  <sheetFormatPr baseColWidth="10" defaultRowHeight="14.4" x14ac:dyDescent="0.3"/>
  <cols>
    <col min="1" max="1" width="11.33203125" bestFit="1" customWidth="1"/>
    <col min="2" max="2" width="11.44140625" bestFit="1" customWidth="1"/>
    <col min="3" max="3" width="11.33203125" bestFit="1" customWidth="1"/>
  </cols>
  <sheetData>
    <row r="1" spans="1:6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72.8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129.6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144" x14ac:dyDescent="0.3">
      <c r="A4" s="3" t="s">
        <v>18</v>
      </c>
      <c r="B4" s="3" t="s">
        <v>13</v>
      </c>
      <c r="C4" s="3" t="s">
        <v>19</v>
      </c>
      <c r="D4" s="3" t="s">
        <v>20</v>
      </c>
      <c r="E4" s="3" t="s">
        <v>21</v>
      </c>
      <c r="F4" s="3" t="s">
        <v>22</v>
      </c>
    </row>
    <row r="5" spans="1:6" ht="115.2" x14ac:dyDescent="0.3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</row>
    <row r="6" spans="1:6" ht="100.8" x14ac:dyDescent="0.3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</row>
    <row r="7" spans="1:6" ht="100.8" x14ac:dyDescent="0.3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F025-7247-48FE-ACF4-5F1EF289CD3F}">
  <dimension ref="A1:E12"/>
  <sheetViews>
    <sheetView workbookViewId="0"/>
  </sheetViews>
  <sheetFormatPr baseColWidth="10" defaultRowHeight="14.4" x14ac:dyDescent="0.3"/>
  <cols>
    <col min="1" max="1" width="8.33203125" bestFit="1" customWidth="1"/>
    <col min="2" max="2" width="19.21875" bestFit="1" customWidth="1"/>
    <col min="3" max="3" width="13.109375" bestFit="1" customWidth="1"/>
    <col min="4" max="4" width="12.109375" bestFit="1" customWidth="1"/>
    <col min="5" max="5" width="11.77734375" bestFit="1" customWidth="1"/>
  </cols>
  <sheetData>
    <row r="1" spans="1:5" s="1" customFormat="1" x14ac:dyDescent="0.3">
      <c r="A1" s="1" t="s">
        <v>41</v>
      </c>
      <c r="B1" s="1" t="s">
        <v>64</v>
      </c>
      <c r="C1" s="1" t="s">
        <v>65</v>
      </c>
      <c r="D1" s="1" t="s">
        <v>66</v>
      </c>
      <c r="E1" s="1" t="s">
        <v>67</v>
      </c>
    </row>
    <row r="2" spans="1:5" x14ac:dyDescent="0.3">
      <c r="A2" t="s">
        <v>53</v>
      </c>
      <c r="B2">
        <f>COUNTIF('Evaluacion individual'!A:A,A2)</f>
        <v>6</v>
      </c>
      <c r="C2">
        <f>AVERAGEIF('Evaluacion individual'!A:A,A2,'Evaluacion individual'!K:K)</f>
        <v>0</v>
      </c>
      <c r="D2">
        <f>_xlfn.MAXIFS('Evaluacion individual'!K:K,'Evaluacion individual'!A:A,A2)</f>
        <v>0</v>
      </c>
      <c r="E2">
        <f>_xlfn.MINIFS('Evaluacion individual'!K:K,'Evaluacion individual'!A:A,A2)</f>
        <v>0</v>
      </c>
    </row>
    <row r="3" spans="1:5" x14ac:dyDescent="0.3">
      <c r="A3" t="s">
        <v>54</v>
      </c>
      <c r="B3">
        <f>COUNTIF('Evaluacion individual'!A:A,A3)</f>
        <v>6</v>
      </c>
      <c r="C3">
        <f>AVERAGEIF('Evaluacion individual'!A:A,A3,'Evaluacion individual'!K:K)</f>
        <v>0</v>
      </c>
      <c r="D3">
        <f>_xlfn.MAXIFS('Evaluacion individual'!K:K,'Evaluacion individual'!A:A,A3)</f>
        <v>0</v>
      </c>
      <c r="E3">
        <f>_xlfn.MINIFS('Evaluacion individual'!K:K,'Evaluacion individual'!A:A,A3)</f>
        <v>0</v>
      </c>
    </row>
    <row r="4" spans="1:5" x14ac:dyDescent="0.3">
      <c r="A4" t="s">
        <v>55</v>
      </c>
      <c r="B4">
        <f>COUNTIF('Evaluacion individual'!A:A,A4)</f>
        <v>6</v>
      </c>
      <c r="C4">
        <f>AVERAGEIF('Evaluacion individual'!A:A,A4,'Evaluacion individual'!K:K)</f>
        <v>0</v>
      </c>
      <c r="D4">
        <f>_xlfn.MAXIFS('Evaluacion individual'!K:K,'Evaluacion individual'!A:A,A4)</f>
        <v>0</v>
      </c>
      <c r="E4">
        <f>_xlfn.MINIFS('Evaluacion individual'!K:K,'Evaluacion individual'!A:A,A4)</f>
        <v>0</v>
      </c>
    </row>
    <row r="5" spans="1:5" x14ac:dyDescent="0.3">
      <c r="A5" t="s">
        <v>56</v>
      </c>
      <c r="B5">
        <f>COUNTIF('Evaluacion individual'!A:A,A5)</f>
        <v>6</v>
      </c>
      <c r="C5">
        <f>AVERAGEIF('Evaluacion individual'!A:A,A5,'Evaluacion individual'!K:K)</f>
        <v>0</v>
      </c>
      <c r="D5">
        <f>_xlfn.MAXIFS('Evaluacion individual'!K:K,'Evaluacion individual'!A:A,A5)</f>
        <v>0</v>
      </c>
      <c r="E5">
        <f>_xlfn.MINIFS('Evaluacion individual'!K:K,'Evaluacion individual'!A:A,A5)</f>
        <v>0</v>
      </c>
    </row>
    <row r="6" spans="1:5" x14ac:dyDescent="0.3">
      <c r="A6" t="s">
        <v>57</v>
      </c>
      <c r="B6">
        <f>COUNTIF('Evaluacion individual'!A:A,A6)</f>
        <v>6</v>
      </c>
      <c r="C6">
        <f>AVERAGEIF('Evaluacion individual'!A:A,A6,'Evaluacion individual'!K:K)</f>
        <v>0</v>
      </c>
      <c r="D6">
        <f>_xlfn.MAXIFS('Evaluacion individual'!K:K,'Evaluacion individual'!A:A,A6)</f>
        <v>0</v>
      </c>
      <c r="E6">
        <f>_xlfn.MINIFS('Evaluacion individual'!K:K,'Evaluacion individual'!A:A,A6)</f>
        <v>0</v>
      </c>
    </row>
    <row r="7" spans="1:5" x14ac:dyDescent="0.3">
      <c r="A7" t="s">
        <v>58</v>
      </c>
      <c r="B7">
        <f>COUNTIF('Evaluacion individual'!A:A,A7)</f>
        <v>6</v>
      </c>
      <c r="C7">
        <f>AVERAGEIF('Evaluacion individual'!A:A,A7,'Evaluacion individual'!K:K)</f>
        <v>0</v>
      </c>
      <c r="D7">
        <f>_xlfn.MAXIFS('Evaluacion individual'!K:K,'Evaluacion individual'!A:A,A7)</f>
        <v>0</v>
      </c>
      <c r="E7">
        <f>_xlfn.MINIFS('Evaluacion individual'!K:K,'Evaluacion individual'!A:A,A7)</f>
        <v>0</v>
      </c>
    </row>
    <row r="8" spans="1:5" x14ac:dyDescent="0.3">
      <c r="A8" t="s">
        <v>59</v>
      </c>
      <c r="B8">
        <f>COUNTIF('Evaluacion individual'!A:A,A8)</f>
        <v>6</v>
      </c>
      <c r="C8">
        <f>AVERAGEIF('Evaluacion individual'!A:A,A8,'Evaluacion individual'!K:K)</f>
        <v>0</v>
      </c>
      <c r="D8">
        <f>_xlfn.MAXIFS('Evaluacion individual'!K:K,'Evaluacion individual'!A:A,A8)</f>
        <v>0</v>
      </c>
      <c r="E8">
        <f>_xlfn.MINIFS('Evaluacion individual'!K:K,'Evaluacion individual'!A:A,A8)</f>
        <v>0</v>
      </c>
    </row>
    <row r="9" spans="1:5" x14ac:dyDescent="0.3">
      <c r="A9" t="s">
        <v>60</v>
      </c>
      <c r="B9">
        <f>COUNTIF('Evaluacion individual'!A:A,A9)</f>
        <v>6</v>
      </c>
      <c r="C9">
        <f>AVERAGEIF('Evaluacion individual'!A:A,A9,'Evaluacion individual'!K:K)</f>
        <v>0</v>
      </c>
      <c r="D9">
        <f>_xlfn.MAXIFS('Evaluacion individual'!K:K,'Evaluacion individual'!A:A,A9)</f>
        <v>0</v>
      </c>
      <c r="E9">
        <f>_xlfn.MINIFS('Evaluacion individual'!K:K,'Evaluacion individual'!A:A,A9)</f>
        <v>0</v>
      </c>
    </row>
    <row r="10" spans="1:5" x14ac:dyDescent="0.3">
      <c r="A10" t="s">
        <v>61</v>
      </c>
      <c r="B10">
        <f>COUNTIF('Evaluacion individual'!A:A,A10)</f>
        <v>6</v>
      </c>
      <c r="C10">
        <f>AVERAGEIF('Evaluacion individual'!A:A,A10,'Evaluacion individual'!K:K)</f>
        <v>0</v>
      </c>
      <c r="D10">
        <f>_xlfn.MAXIFS('Evaluacion individual'!K:K,'Evaluacion individual'!A:A,A10)</f>
        <v>0</v>
      </c>
      <c r="E10">
        <f>_xlfn.MINIFS('Evaluacion individual'!K:K,'Evaluacion individual'!A:A,A10)</f>
        <v>0</v>
      </c>
    </row>
    <row r="11" spans="1:5" x14ac:dyDescent="0.3">
      <c r="A11" t="s">
        <v>62</v>
      </c>
      <c r="B11">
        <f>COUNTIF('Evaluacion individual'!A:A,A11)</f>
        <v>6</v>
      </c>
      <c r="C11">
        <f>AVERAGEIF('Evaluacion individual'!A:A,A11,'Evaluacion individual'!K:K)</f>
        <v>0</v>
      </c>
      <c r="D11">
        <f>_xlfn.MAXIFS('Evaluacion individual'!K:K,'Evaluacion individual'!A:A,A11)</f>
        <v>0</v>
      </c>
      <c r="E11">
        <f>_xlfn.MINIFS('Evaluacion individual'!K:K,'Evaluacion individual'!A:A,A11)</f>
        <v>0</v>
      </c>
    </row>
    <row r="12" spans="1:5" x14ac:dyDescent="0.3">
      <c r="A12" t="s">
        <v>63</v>
      </c>
      <c r="B12">
        <f>COUNTIF('Evaluacion individual'!A:A,A12)</f>
        <v>6</v>
      </c>
      <c r="C12">
        <f>AVERAGEIF('Evaluacion individual'!A:A,A12,'Evaluacion individual'!K:K)</f>
        <v>0</v>
      </c>
      <c r="D12">
        <f>_xlfn.MAXIFS('Evaluacion individual'!K:K,'Evaluacion individual'!A:A,A12)</f>
        <v>0</v>
      </c>
      <c r="E12">
        <f>_xlfn.MINIFS('Evaluacion individual'!K:K,'Evaluacion individual'!A:A,A12)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Evaluacion individual</vt:lpstr>
      <vt:lpstr>Rubrica</vt:lpstr>
      <vt:lpstr>Resumen grupos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IBM</cp:lastModifiedBy>
  <dcterms:created xsi:type="dcterms:W3CDTF">2026-05-26T10:36:27Z</dcterms:created>
  <dcterms:modified xsi:type="dcterms:W3CDTF">2026-05-26T10:36:33Z</dcterms:modified>
</cp:coreProperties>
</file>